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rviços" sheetId="1" state="visible" r:id="rId3"/>
    <sheet name="Resumo por Categoria" sheetId="2" state="visible" r:id="rId4"/>
  </sheets>
  <definedNames>
    <definedName function="false" hidden="true" localSheetId="0" name="_xlnm._FilterDatabase" vbProcedure="false">Serviços!$A$4:$H$60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<sst xmlns="http://schemas.openxmlformats.org/spreadsheetml/2006/main" count="278" uniqueCount="159">
  <si>
    <t xml:space="preserve">Tabela de Custos de Serviços de TI</t>
  </si>
  <si>
    <t xml:space="preserve">Software House / Manutenção de Computadores — dados de teste para importação</t>
  </si>
  <si>
    <t xml:space="preserve">ID</t>
  </si>
  <si>
    <t xml:space="preserve">Categoria</t>
  </si>
  <si>
    <t xml:space="preserve">Serviço</t>
  </si>
  <si>
    <t xml:space="preserve">Descrição</t>
  </si>
  <si>
    <t xml:space="preserve">Unidade de Cobrança</t>
  </si>
  <si>
    <t xml:space="preserve">Preço (R$)</t>
  </si>
  <si>
    <t xml:space="preserve">Tempo Estimado (h)</t>
  </si>
  <si>
    <t xml:space="preserve">Observações</t>
  </si>
  <si>
    <t xml:space="preserve">Manutenção de Hardware</t>
  </si>
  <si>
    <t xml:space="preserve">Formatação e reinstalação do SO</t>
  </si>
  <si>
    <t xml:space="preserve">Backup, formatação e reinstalação do sistema operacional com drivers</t>
  </si>
  <si>
    <t xml:space="preserve">Por serviço</t>
  </si>
  <si>
    <t xml:space="preserve">Não inclui backup em nuvem</t>
  </si>
  <si>
    <t xml:space="preserve">Limpeza interna (notebook)</t>
  </si>
  <si>
    <t xml:space="preserve">Limpeza de poeira, cooler e troca de pasta térmica</t>
  </si>
  <si>
    <t xml:space="preserve">Limpeza interna (desktop)</t>
  </si>
  <si>
    <t xml:space="preserve">Troca de HD para SSD</t>
  </si>
  <si>
    <t xml:space="preserve">Clonagem de disco e instalação de SSD</t>
  </si>
  <si>
    <t xml:space="preserve">Peça não inclusa</t>
  </si>
  <si>
    <t xml:space="preserve">Upgrade de memória RAM</t>
  </si>
  <si>
    <t xml:space="preserve">Instalação e teste de novos módulos de memória</t>
  </si>
  <si>
    <t xml:space="preserve">Troca de tela de notebook</t>
  </si>
  <si>
    <t xml:space="preserve">Substituição de tela LCD/LED danificada</t>
  </si>
  <si>
    <t xml:space="preserve">Troca de teclado de notebook</t>
  </si>
  <si>
    <t xml:space="preserve">Substituição de teclado com defeito</t>
  </si>
  <si>
    <t xml:space="preserve">Diagnóstico de placa-mãe</t>
  </si>
  <si>
    <t xml:space="preserve">Identificação de falhas em componentes da placa-mãe</t>
  </si>
  <si>
    <t xml:space="preserve">Troca de bateria de notebook</t>
  </si>
  <si>
    <t xml:space="preserve">Substituição de bateria com baixa autonomia</t>
  </si>
  <si>
    <t xml:space="preserve">Montagem de computador</t>
  </si>
  <si>
    <t xml:space="preserve">Montagem completa de PC gamer ou workstation</t>
  </si>
  <si>
    <t xml:space="preserve">Peças não inclusas</t>
  </si>
  <si>
    <t xml:space="preserve">Manutenção de Software</t>
  </si>
  <si>
    <t xml:space="preserve">Remoção de vírus e malware</t>
  </si>
  <si>
    <t xml:space="preserve">Varredura completa e remoção de ameaças</t>
  </si>
  <si>
    <t xml:space="preserve">Instalação do pacote Office</t>
  </si>
  <si>
    <t xml:space="preserve">Instalação e ativação do Microsoft Office</t>
  </si>
  <si>
    <t xml:space="preserve">Licença não inclusa</t>
  </si>
  <si>
    <t xml:space="preserve">Instalação de antivírus corporativo</t>
  </si>
  <si>
    <t xml:space="preserve">Instalação e configuração de solução antivírus</t>
  </si>
  <si>
    <t xml:space="preserve">Atualização de drivers e sistema</t>
  </si>
  <si>
    <t xml:space="preserve">Atualização geral do Windows e drivers de hardware</t>
  </si>
  <si>
    <t xml:space="preserve">Otimização de desempenho</t>
  </si>
  <si>
    <t xml:space="preserve">Limpeza de arquivos temporários e otimização de boot</t>
  </si>
  <si>
    <t xml:space="preserve">Configuração de e-mail corporativo</t>
  </si>
  <si>
    <t xml:space="preserve">Configuração de conta no Outlook/cliente de e-mail</t>
  </si>
  <si>
    <t xml:space="preserve">Migração de sistema operacional</t>
  </si>
  <si>
    <t xml:space="preserve">Migração entre versões de Windows ou para Linux</t>
  </si>
  <si>
    <t xml:space="preserve">Ativação e licenciamento de software</t>
  </si>
  <si>
    <t xml:space="preserve">Regularização de licenças de sistema e aplicativos</t>
  </si>
  <si>
    <t xml:space="preserve">Redes e Infraestrutura</t>
  </si>
  <si>
    <t xml:space="preserve">Instalação de Wi-Fi residencial</t>
  </si>
  <si>
    <t xml:space="preserve">Configuração de roteador e otimização de sinal</t>
  </si>
  <si>
    <t xml:space="preserve">Instalação de Wi-Fi empresarial</t>
  </si>
  <si>
    <t xml:space="preserve">Projeto e instalação de rede sem fio corporativa</t>
  </si>
  <si>
    <t xml:space="preserve">Cabeamento estruturado</t>
  </si>
  <si>
    <t xml:space="preserve">Passagem e certificação de ponto de rede</t>
  </si>
  <si>
    <t xml:space="preserve">Por ponto</t>
  </si>
  <si>
    <t xml:space="preserve">Valor por ponto instalado</t>
  </si>
  <si>
    <t xml:space="preserve">Configuração de roteador/switch</t>
  </si>
  <si>
    <t xml:space="preserve">Configuração de equipamentos de rede</t>
  </si>
  <si>
    <t xml:space="preserve">Instalação de servidor local</t>
  </si>
  <si>
    <t xml:space="preserve">Instalação e configuração de servidor de arquivos</t>
  </si>
  <si>
    <t xml:space="preserve">Configuração de VPN</t>
  </si>
  <si>
    <t xml:space="preserve">Configuração de acesso remoto seguro</t>
  </si>
  <si>
    <t xml:space="preserve">Monitoramento de rede</t>
  </si>
  <si>
    <t xml:space="preserve">Monitoramento contínuo de disponibilidade da rede</t>
  </si>
  <si>
    <t xml:space="preserve">Mensal</t>
  </si>
  <si>
    <t xml:space="preserve">Cobrança recorrente</t>
  </si>
  <si>
    <t xml:space="preserve">Instalação de câmeras (CFTV)</t>
  </si>
  <si>
    <t xml:space="preserve">Instalação e configuração de câmera de segurança</t>
  </si>
  <si>
    <t xml:space="preserve">Câmera não inclusa</t>
  </si>
  <si>
    <t xml:space="preserve">Segurança da Informação</t>
  </si>
  <si>
    <t xml:space="preserve">Auditoria de segurança básica</t>
  </si>
  <si>
    <t xml:space="preserve">Avaliação de vulnerabilidades e boas práticas</t>
  </si>
  <si>
    <t xml:space="preserve">Implementação de firewall</t>
  </si>
  <si>
    <t xml:space="preserve">Instalação e configuração de firewall de rede</t>
  </si>
  <si>
    <t xml:space="preserve">Política de backup e segurança</t>
  </si>
  <si>
    <t xml:space="preserve">Consultoria para definição de políticas internas</t>
  </si>
  <si>
    <t xml:space="preserve">Teste de vulnerabilidade (pentest básico)</t>
  </si>
  <si>
    <t xml:space="preserve">Análise de segurança em sistemas e rede</t>
  </si>
  <si>
    <t xml:space="preserve">Configuração de autenticação em 2 fatores</t>
  </si>
  <si>
    <t xml:space="preserve">Implementação de 2FA em contas e sistemas</t>
  </si>
  <si>
    <t xml:space="preserve">Desenvolvimento</t>
  </si>
  <si>
    <t xml:space="preserve">Site institucional</t>
  </si>
  <si>
    <t xml:space="preserve">Desenvolvimento de site institucional responsivo</t>
  </si>
  <si>
    <t xml:space="preserve">Por projeto</t>
  </si>
  <si>
    <t xml:space="preserve">Valor pode variar conforme escopo</t>
  </si>
  <si>
    <t xml:space="preserve">E-commerce</t>
  </si>
  <si>
    <t xml:space="preserve">Loja virtual completa com integração de pagamento</t>
  </si>
  <si>
    <t xml:space="preserve">Sistema web sob medida</t>
  </si>
  <si>
    <t xml:space="preserve">Desenvolvimento de sistema web personalizado</t>
  </si>
  <si>
    <t xml:space="preserve">Por hora</t>
  </si>
  <si>
    <t xml:space="preserve">Cobrança por hora técnica</t>
  </si>
  <si>
    <t xml:space="preserve">Manutenção mensal de sistema/site</t>
  </si>
  <si>
    <t xml:space="preserve">Atualizações, correções e pequenas melhorias</t>
  </si>
  <si>
    <t xml:space="preserve">Aplicativo mobile básico</t>
  </si>
  <si>
    <t xml:space="preserve">Desenvolvimento de app Android/iOS (MVP)</t>
  </si>
  <si>
    <t xml:space="preserve">Landing page</t>
  </si>
  <si>
    <t xml:space="preserve">Criação de página de captura otimizada</t>
  </si>
  <si>
    <t xml:space="preserve">Integração de API de pagamento</t>
  </si>
  <si>
    <t xml:space="preserve">Integração com gateway de pagamento</t>
  </si>
  <si>
    <t xml:space="preserve">Suporte Técnico</t>
  </si>
  <si>
    <t xml:space="preserve">Suporte remoto</t>
  </si>
  <si>
    <t xml:space="preserve">Atendimento técnico via acesso remoto</t>
  </si>
  <si>
    <t xml:space="preserve">Suporte presencial</t>
  </si>
  <si>
    <t xml:space="preserve">Atendimento técnico no local do cliente</t>
  </si>
  <si>
    <t xml:space="preserve">Taxa de deslocamento à parte</t>
  </si>
  <si>
    <t xml:space="preserve">Contrato mensal (até 5 máquinas)</t>
  </si>
  <si>
    <t xml:space="preserve">Suporte técnico ilimitado para até 5 equipamentos</t>
  </si>
  <si>
    <t xml:space="preserve">Contrato mensal (até 10 máquinas)</t>
  </si>
  <si>
    <t xml:space="preserve">Suporte técnico ilimitado para até 10 equipamentos</t>
  </si>
  <si>
    <t xml:space="preserve">Visita técnica emergencial</t>
  </si>
  <si>
    <t xml:space="preserve">Atendimento fora do horário comercial</t>
  </si>
  <si>
    <t xml:space="preserve">Por visita</t>
  </si>
  <si>
    <t xml:space="preserve">Sujeito a disponibilidade</t>
  </si>
  <si>
    <t xml:space="preserve">Backup e Recuperação</t>
  </si>
  <si>
    <t xml:space="preserve">Configuração de backup em nuvem</t>
  </si>
  <si>
    <t xml:space="preserve">Implantação de rotina automática de backup online</t>
  </si>
  <si>
    <t xml:space="preserve">Recuperação de dados</t>
  </si>
  <si>
    <t xml:space="preserve">Recuperação de dados em HD/SSD danificado</t>
  </si>
  <si>
    <t xml:space="preserve">Sem garantia de sucesso total</t>
  </si>
  <si>
    <t xml:space="preserve">Backup local automatizado</t>
  </si>
  <si>
    <t xml:space="preserve">Configuração de rotina de backup em HD externo/NAS</t>
  </si>
  <si>
    <t xml:space="preserve">Recuperação de arquivos apagados</t>
  </si>
  <si>
    <t xml:space="preserve">Recuperação de arquivos excluídos acidentalmente</t>
  </si>
  <si>
    <t xml:space="preserve">Consultoria em TI</t>
  </si>
  <si>
    <t xml:space="preserve">Consultoria em infraestrutura</t>
  </si>
  <si>
    <t xml:space="preserve">Análise e recomendação de melhorias de TI</t>
  </si>
  <si>
    <t xml:space="preserve">Diagnóstico do parque de máquinas</t>
  </si>
  <si>
    <t xml:space="preserve">Levantamento completo de hardware e software</t>
  </si>
  <si>
    <t xml:space="preserve">Plano de TI anual</t>
  </si>
  <si>
    <t xml:space="preserve">Elaboração de planejamento estratégico de TI</t>
  </si>
  <si>
    <t xml:space="preserve">Cloud / Nuvem</t>
  </si>
  <si>
    <t xml:space="preserve">Migração para nuvem</t>
  </si>
  <si>
    <t xml:space="preserve">Migração de servidor local para ambiente cloud</t>
  </si>
  <si>
    <t xml:space="preserve">Configuração de e-mail em nuvem</t>
  </si>
  <si>
    <t xml:space="preserve">Configuração de Google Workspace ou Microsoft 365</t>
  </si>
  <si>
    <t xml:space="preserve">Licenças não inclusas</t>
  </si>
  <si>
    <t xml:space="preserve">Gestão mensal de ambiente cloud</t>
  </si>
  <si>
    <t xml:space="preserve">Administração e monitoramento de infraestrutura cloud</t>
  </si>
  <si>
    <t xml:space="preserve">Impressoras e Periféricos</t>
  </si>
  <si>
    <t xml:space="preserve">Manutenção de impressora</t>
  </si>
  <si>
    <t xml:space="preserve">Limpeza de cabeça de impressão e ajustes gerais</t>
  </si>
  <si>
    <t xml:space="preserve">Instalação de impressora em rede</t>
  </si>
  <si>
    <t xml:space="preserve">Configuração de impressora compartilhada em rede</t>
  </si>
  <si>
    <t xml:space="preserve">Recarga de cartucho/toner</t>
  </si>
  <si>
    <t xml:space="preserve">Instalação de cartucho ou toner recarregado</t>
  </si>
  <si>
    <t xml:space="preserve">Insumo não incluso</t>
  </si>
  <si>
    <t xml:space="preserve">Total de serviços cadastrados:</t>
  </si>
  <si>
    <t xml:space="preserve">Preço médio geral:</t>
  </si>
  <si>
    <t xml:space="preserve">Resumo por Categoria</t>
  </si>
  <si>
    <t xml:space="preserve">Qtde. de Serviços</t>
  </si>
  <si>
    <t xml:space="preserve">Preço Médio (R$)</t>
  </si>
  <si>
    <t xml:space="preserve">Preço Mínimo (R$)</t>
  </si>
  <si>
    <t xml:space="preserve">Preço Máximo (R$)</t>
  </si>
  <si>
    <t xml:space="preserve">TOTAL GERAL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</si>
</sst>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"/>
    <numFmt numFmtId="166" formatCode="0.0"/>
    <numFmt numFmtId="167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46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3.85" hidden="false" customHeight="false" outlineLevel="0" collapsed="false">
      <c r="A5" s="4" t="n">
        <v>1</v>
      </c>
      <c r="B5" s="5" t="s">
        <v>10</v>
      </c>
      <c r="C5" s="5" t="s">
        <v>11</v>
      </c>
      <c r="D5" s="6" t="s">
        <v>12</v>
      </c>
      <c r="E5" s="5" t="s">
        <v>13</v>
      </c>
      <c r="F5" s="7" t="n">
        <v>120</v>
      </c>
      <c r="G5" s="8" t="n">
        <v>2</v>
      </c>
      <c r="H5" s="6" t="s">
        <v>14</v>
      </c>
    </row>
    <row r="6" customFormat="false" ht="15" hidden="false" customHeight="false" outlineLevel="0" collapsed="false">
      <c r="A6" s="9" t="n">
        <v>2</v>
      </c>
      <c r="B6" s="10" t="s">
        <v>10</v>
      </c>
      <c r="C6" s="10" t="s">
        <v>15</v>
      </c>
      <c r="D6" s="11" t="s">
        <v>16</v>
      </c>
      <c r="E6" s="10" t="s">
        <v>13</v>
      </c>
      <c r="F6" s="12" t="n">
        <v>90</v>
      </c>
      <c r="G6" s="13" t="n">
        <v>1</v>
      </c>
      <c r="H6" s="11"/>
    </row>
    <row r="7" customFormat="false" ht="15" hidden="false" customHeight="false" outlineLevel="0" collapsed="false">
      <c r="A7" s="4" t="n">
        <v>3</v>
      </c>
      <c r="B7" s="5" t="s">
        <v>10</v>
      </c>
      <c r="C7" s="5" t="s">
        <v>17</v>
      </c>
      <c r="D7" s="6" t="s">
        <v>16</v>
      </c>
      <c r="E7" s="5" t="s">
        <v>13</v>
      </c>
      <c r="F7" s="7" t="n">
        <v>80</v>
      </c>
      <c r="G7" s="8" t="n">
        <v>1</v>
      </c>
      <c r="H7" s="6"/>
    </row>
    <row r="8" customFormat="false" ht="15" hidden="false" customHeight="false" outlineLevel="0" collapsed="false">
      <c r="A8" s="9" t="n">
        <v>4</v>
      </c>
      <c r="B8" s="10" t="s">
        <v>10</v>
      </c>
      <c r="C8" s="10" t="s">
        <v>18</v>
      </c>
      <c r="D8" s="11" t="s">
        <v>19</v>
      </c>
      <c r="E8" s="10" t="s">
        <v>13</v>
      </c>
      <c r="F8" s="12" t="n">
        <v>100</v>
      </c>
      <c r="G8" s="13" t="n">
        <v>1.5</v>
      </c>
      <c r="H8" s="11" t="s">
        <v>20</v>
      </c>
    </row>
    <row r="9" customFormat="false" ht="15" hidden="false" customHeight="false" outlineLevel="0" collapsed="false">
      <c r="A9" s="4" t="n">
        <v>5</v>
      </c>
      <c r="B9" s="5" t="s">
        <v>10</v>
      </c>
      <c r="C9" s="5" t="s">
        <v>21</v>
      </c>
      <c r="D9" s="6" t="s">
        <v>22</v>
      </c>
      <c r="E9" s="5" t="s">
        <v>13</v>
      </c>
      <c r="F9" s="7" t="n">
        <v>60</v>
      </c>
      <c r="G9" s="8" t="n">
        <v>0.5</v>
      </c>
      <c r="H9" s="6" t="s">
        <v>20</v>
      </c>
    </row>
    <row r="10" customFormat="false" ht="15" hidden="false" customHeight="false" outlineLevel="0" collapsed="false">
      <c r="A10" s="9" t="n">
        <v>6</v>
      </c>
      <c r="B10" s="10" t="s">
        <v>10</v>
      </c>
      <c r="C10" s="10" t="s">
        <v>23</v>
      </c>
      <c r="D10" s="11" t="s">
        <v>24</v>
      </c>
      <c r="E10" s="10" t="s">
        <v>13</v>
      </c>
      <c r="F10" s="12" t="n">
        <v>150</v>
      </c>
      <c r="G10" s="13" t="n">
        <v>2</v>
      </c>
      <c r="H10" s="11" t="s">
        <v>20</v>
      </c>
    </row>
    <row r="11" customFormat="false" ht="15" hidden="false" customHeight="false" outlineLevel="0" collapsed="false">
      <c r="A11" s="4" t="n">
        <v>7</v>
      </c>
      <c r="B11" s="5" t="s">
        <v>10</v>
      </c>
      <c r="C11" s="5" t="s">
        <v>25</v>
      </c>
      <c r="D11" s="6" t="s">
        <v>26</v>
      </c>
      <c r="E11" s="5" t="s">
        <v>13</v>
      </c>
      <c r="F11" s="7" t="n">
        <v>100</v>
      </c>
      <c r="G11" s="8" t="n">
        <v>1</v>
      </c>
      <c r="H11" s="6" t="s">
        <v>20</v>
      </c>
    </row>
    <row r="12" customFormat="false" ht="15" hidden="false" customHeight="false" outlineLevel="0" collapsed="false">
      <c r="A12" s="9" t="n">
        <v>8</v>
      </c>
      <c r="B12" s="10" t="s">
        <v>10</v>
      </c>
      <c r="C12" s="10" t="s">
        <v>27</v>
      </c>
      <c r="D12" s="11" t="s">
        <v>28</v>
      </c>
      <c r="E12" s="10" t="s">
        <v>13</v>
      </c>
      <c r="F12" s="12" t="n">
        <v>80</v>
      </c>
      <c r="G12" s="13" t="n">
        <v>1</v>
      </c>
      <c r="H12" s="11"/>
    </row>
    <row r="13" customFormat="false" ht="15" hidden="false" customHeight="false" outlineLevel="0" collapsed="false">
      <c r="A13" s="4" t="n">
        <v>9</v>
      </c>
      <c r="B13" s="5" t="s">
        <v>10</v>
      </c>
      <c r="C13" s="5" t="s">
        <v>29</v>
      </c>
      <c r="D13" s="6" t="s">
        <v>30</v>
      </c>
      <c r="E13" s="5" t="s">
        <v>13</v>
      </c>
      <c r="F13" s="7" t="n">
        <v>70</v>
      </c>
      <c r="G13" s="8" t="n">
        <v>0.5</v>
      </c>
      <c r="H13" s="6" t="s">
        <v>20</v>
      </c>
    </row>
    <row r="14" customFormat="false" ht="15" hidden="false" customHeight="false" outlineLevel="0" collapsed="false">
      <c r="A14" s="9" t="n">
        <v>10</v>
      </c>
      <c r="B14" s="10" t="s">
        <v>10</v>
      </c>
      <c r="C14" s="10" t="s">
        <v>31</v>
      </c>
      <c r="D14" s="11" t="s">
        <v>32</v>
      </c>
      <c r="E14" s="10" t="s">
        <v>13</v>
      </c>
      <c r="F14" s="12" t="n">
        <v>200</v>
      </c>
      <c r="G14" s="13" t="n">
        <v>3</v>
      </c>
      <c r="H14" s="11" t="s">
        <v>33</v>
      </c>
    </row>
    <row r="15" customFormat="false" ht="15" hidden="false" customHeight="false" outlineLevel="0" collapsed="false">
      <c r="A15" s="4" t="n">
        <v>11</v>
      </c>
      <c r="B15" s="5" t="s">
        <v>34</v>
      </c>
      <c r="C15" s="5" t="s">
        <v>35</v>
      </c>
      <c r="D15" s="6" t="s">
        <v>36</v>
      </c>
      <c r="E15" s="5" t="s">
        <v>13</v>
      </c>
      <c r="F15" s="7" t="n">
        <v>100</v>
      </c>
      <c r="G15" s="8" t="n">
        <v>2</v>
      </c>
      <c r="H15" s="6"/>
    </row>
    <row r="16" customFormat="false" ht="15" hidden="false" customHeight="false" outlineLevel="0" collapsed="false">
      <c r="A16" s="9" t="n">
        <v>12</v>
      </c>
      <c r="B16" s="10" t="s">
        <v>34</v>
      </c>
      <c r="C16" s="10" t="s">
        <v>37</v>
      </c>
      <c r="D16" s="11" t="s">
        <v>38</v>
      </c>
      <c r="E16" s="10" t="s">
        <v>13</v>
      </c>
      <c r="F16" s="12" t="n">
        <v>70</v>
      </c>
      <c r="G16" s="13" t="n">
        <v>1</v>
      </c>
      <c r="H16" s="11" t="s">
        <v>39</v>
      </c>
    </row>
    <row r="17" customFormat="false" ht="15" hidden="false" customHeight="false" outlineLevel="0" collapsed="false">
      <c r="A17" s="4" t="n">
        <v>13</v>
      </c>
      <c r="B17" s="5" t="s">
        <v>34</v>
      </c>
      <c r="C17" s="5" t="s">
        <v>40</v>
      </c>
      <c r="D17" s="6" t="s">
        <v>41</v>
      </c>
      <c r="E17" s="5" t="s">
        <v>13</v>
      </c>
      <c r="F17" s="7" t="n">
        <v>60</v>
      </c>
      <c r="G17" s="8" t="n">
        <v>0.5</v>
      </c>
      <c r="H17" s="6" t="s">
        <v>39</v>
      </c>
    </row>
    <row r="18" customFormat="false" ht="15" hidden="false" customHeight="false" outlineLevel="0" collapsed="false">
      <c r="A18" s="9" t="n">
        <v>14</v>
      </c>
      <c r="B18" s="10" t="s">
        <v>34</v>
      </c>
      <c r="C18" s="10" t="s">
        <v>42</v>
      </c>
      <c r="D18" s="11" t="s">
        <v>43</v>
      </c>
      <c r="E18" s="10" t="s">
        <v>13</v>
      </c>
      <c r="F18" s="12" t="n">
        <v>50</v>
      </c>
      <c r="G18" s="13" t="n">
        <v>1</v>
      </c>
      <c r="H18" s="11"/>
    </row>
    <row r="19" customFormat="false" ht="15" hidden="false" customHeight="false" outlineLevel="0" collapsed="false">
      <c r="A19" s="4" t="n">
        <v>15</v>
      </c>
      <c r="B19" s="5" t="s">
        <v>34</v>
      </c>
      <c r="C19" s="5" t="s">
        <v>44</v>
      </c>
      <c r="D19" s="6" t="s">
        <v>45</v>
      </c>
      <c r="E19" s="5" t="s">
        <v>13</v>
      </c>
      <c r="F19" s="7" t="n">
        <v>90</v>
      </c>
      <c r="G19" s="8" t="n">
        <v>1.5</v>
      </c>
      <c r="H19" s="6"/>
    </row>
    <row r="20" customFormat="false" ht="15" hidden="false" customHeight="false" outlineLevel="0" collapsed="false">
      <c r="A20" s="9" t="n">
        <v>16</v>
      </c>
      <c r="B20" s="10" t="s">
        <v>34</v>
      </c>
      <c r="C20" s="10" t="s">
        <v>46</v>
      </c>
      <c r="D20" s="11" t="s">
        <v>47</v>
      </c>
      <c r="E20" s="10" t="s">
        <v>13</v>
      </c>
      <c r="F20" s="12" t="n">
        <v>60</v>
      </c>
      <c r="G20" s="13" t="n">
        <v>1</v>
      </c>
      <c r="H20" s="11"/>
    </row>
    <row r="21" customFormat="false" ht="15" hidden="false" customHeight="false" outlineLevel="0" collapsed="false">
      <c r="A21" s="4" t="n">
        <v>17</v>
      </c>
      <c r="B21" s="5" t="s">
        <v>34</v>
      </c>
      <c r="C21" s="5" t="s">
        <v>48</v>
      </c>
      <c r="D21" s="6" t="s">
        <v>49</v>
      </c>
      <c r="E21" s="5" t="s">
        <v>13</v>
      </c>
      <c r="F21" s="7" t="n">
        <v>150</v>
      </c>
      <c r="G21" s="8" t="n">
        <v>3</v>
      </c>
      <c r="H21" s="6"/>
    </row>
    <row r="22" customFormat="false" ht="15" hidden="false" customHeight="false" outlineLevel="0" collapsed="false">
      <c r="A22" s="9" t="n">
        <v>18</v>
      </c>
      <c r="B22" s="10" t="s">
        <v>34</v>
      </c>
      <c r="C22" s="10" t="s">
        <v>50</v>
      </c>
      <c r="D22" s="11" t="s">
        <v>51</v>
      </c>
      <c r="E22" s="10" t="s">
        <v>13</v>
      </c>
      <c r="F22" s="12" t="n">
        <v>50</v>
      </c>
      <c r="G22" s="13" t="n">
        <v>0.5</v>
      </c>
      <c r="H22" s="11"/>
    </row>
    <row r="23" customFormat="false" ht="15" hidden="false" customHeight="false" outlineLevel="0" collapsed="false">
      <c r="A23" s="4" t="n">
        <v>19</v>
      </c>
      <c r="B23" s="5" t="s">
        <v>52</v>
      </c>
      <c r="C23" s="5" t="s">
        <v>53</v>
      </c>
      <c r="D23" s="6" t="s">
        <v>54</v>
      </c>
      <c r="E23" s="5" t="s">
        <v>13</v>
      </c>
      <c r="F23" s="7" t="n">
        <v>150</v>
      </c>
      <c r="G23" s="8" t="n">
        <v>2</v>
      </c>
      <c r="H23" s="6"/>
    </row>
    <row r="24" customFormat="false" ht="15" hidden="false" customHeight="false" outlineLevel="0" collapsed="false">
      <c r="A24" s="9" t="n">
        <v>20</v>
      </c>
      <c r="B24" s="10" t="s">
        <v>52</v>
      </c>
      <c r="C24" s="10" t="s">
        <v>55</v>
      </c>
      <c r="D24" s="11" t="s">
        <v>56</v>
      </c>
      <c r="E24" s="10" t="s">
        <v>13</v>
      </c>
      <c r="F24" s="12" t="n">
        <v>400</v>
      </c>
      <c r="G24" s="13" t="n">
        <v>5</v>
      </c>
      <c r="H24" s="11"/>
    </row>
    <row r="25" customFormat="false" ht="15" hidden="false" customHeight="false" outlineLevel="0" collapsed="false">
      <c r="A25" s="4" t="n">
        <v>21</v>
      </c>
      <c r="B25" s="5" t="s">
        <v>52</v>
      </c>
      <c r="C25" s="5" t="s">
        <v>57</v>
      </c>
      <c r="D25" s="6" t="s">
        <v>58</v>
      </c>
      <c r="E25" s="5" t="s">
        <v>59</v>
      </c>
      <c r="F25" s="7" t="n">
        <v>80</v>
      </c>
      <c r="G25" s="8" t="n">
        <v>1</v>
      </c>
      <c r="H25" s="6" t="s">
        <v>60</v>
      </c>
    </row>
    <row r="26" customFormat="false" ht="15" hidden="false" customHeight="false" outlineLevel="0" collapsed="false">
      <c r="A26" s="9" t="n">
        <v>22</v>
      </c>
      <c r="B26" s="10" t="s">
        <v>52</v>
      </c>
      <c r="C26" s="10" t="s">
        <v>61</v>
      </c>
      <c r="D26" s="11" t="s">
        <v>62</v>
      </c>
      <c r="E26" s="10" t="s">
        <v>13</v>
      </c>
      <c r="F26" s="12" t="n">
        <v>100</v>
      </c>
      <c r="G26" s="13" t="n">
        <v>1.5</v>
      </c>
      <c r="H26" s="11"/>
    </row>
    <row r="27" customFormat="false" ht="15" hidden="false" customHeight="false" outlineLevel="0" collapsed="false">
      <c r="A27" s="4" t="n">
        <v>23</v>
      </c>
      <c r="B27" s="5" t="s">
        <v>52</v>
      </c>
      <c r="C27" s="5" t="s">
        <v>63</v>
      </c>
      <c r="D27" s="6" t="s">
        <v>64</v>
      </c>
      <c r="E27" s="5" t="s">
        <v>13</v>
      </c>
      <c r="F27" s="7" t="n">
        <v>600</v>
      </c>
      <c r="G27" s="8" t="n">
        <v>8</v>
      </c>
      <c r="H27" s="6"/>
    </row>
    <row r="28" customFormat="false" ht="15" hidden="false" customHeight="false" outlineLevel="0" collapsed="false">
      <c r="A28" s="9" t="n">
        <v>24</v>
      </c>
      <c r="B28" s="10" t="s">
        <v>52</v>
      </c>
      <c r="C28" s="10" t="s">
        <v>65</v>
      </c>
      <c r="D28" s="11" t="s">
        <v>66</v>
      </c>
      <c r="E28" s="10" t="s">
        <v>13</v>
      </c>
      <c r="F28" s="12" t="n">
        <v>200</v>
      </c>
      <c r="G28" s="13" t="n">
        <v>2</v>
      </c>
      <c r="H28" s="11"/>
    </row>
    <row r="29" customFormat="false" ht="15" hidden="false" customHeight="false" outlineLevel="0" collapsed="false">
      <c r="A29" s="4" t="n">
        <v>25</v>
      </c>
      <c r="B29" s="5" t="s">
        <v>52</v>
      </c>
      <c r="C29" s="5" t="s">
        <v>67</v>
      </c>
      <c r="D29" s="6" t="s">
        <v>68</v>
      </c>
      <c r="E29" s="5" t="s">
        <v>69</v>
      </c>
      <c r="F29" s="7" t="n">
        <v>300</v>
      </c>
      <c r="G29" s="8"/>
      <c r="H29" s="6" t="s">
        <v>70</v>
      </c>
    </row>
    <row r="30" customFormat="false" ht="15" hidden="false" customHeight="false" outlineLevel="0" collapsed="false">
      <c r="A30" s="9" t="n">
        <v>26</v>
      </c>
      <c r="B30" s="10" t="s">
        <v>52</v>
      </c>
      <c r="C30" s="10" t="s">
        <v>71</v>
      </c>
      <c r="D30" s="11" t="s">
        <v>72</v>
      </c>
      <c r="E30" s="10" t="s">
        <v>59</v>
      </c>
      <c r="F30" s="12" t="n">
        <v>180</v>
      </c>
      <c r="G30" s="13" t="n">
        <v>2</v>
      </c>
      <c r="H30" s="11" t="s">
        <v>73</v>
      </c>
    </row>
    <row r="31" customFormat="false" ht="15" hidden="false" customHeight="false" outlineLevel="0" collapsed="false">
      <c r="A31" s="4" t="n">
        <v>27</v>
      </c>
      <c r="B31" s="5" t="s">
        <v>74</v>
      </c>
      <c r="C31" s="5" t="s">
        <v>75</v>
      </c>
      <c r="D31" s="6" t="s">
        <v>76</v>
      </c>
      <c r="E31" s="5" t="s">
        <v>13</v>
      </c>
      <c r="F31" s="7" t="n">
        <v>500</v>
      </c>
      <c r="G31" s="8" t="n">
        <v>6</v>
      </c>
      <c r="H31" s="6"/>
    </row>
    <row r="32" customFormat="false" ht="15" hidden="false" customHeight="false" outlineLevel="0" collapsed="false">
      <c r="A32" s="9" t="n">
        <v>28</v>
      </c>
      <c r="B32" s="10" t="s">
        <v>74</v>
      </c>
      <c r="C32" s="10" t="s">
        <v>77</v>
      </c>
      <c r="D32" s="11" t="s">
        <v>78</v>
      </c>
      <c r="E32" s="10" t="s">
        <v>13</v>
      </c>
      <c r="F32" s="12" t="n">
        <v>350</v>
      </c>
      <c r="G32" s="13" t="n">
        <v>4</v>
      </c>
      <c r="H32" s="11"/>
    </row>
    <row r="33" customFormat="false" ht="15" hidden="false" customHeight="false" outlineLevel="0" collapsed="false">
      <c r="A33" s="4" t="n">
        <v>29</v>
      </c>
      <c r="B33" s="5" t="s">
        <v>74</v>
      </c>
      <c r="C33" s="5" t="s">
        <v>79</v>
      </c>
      <c r="D33" s="6" t="s">
        <v>80</v>
      </c>
      <c r="E33" s="5" t="s">
        <v>13</v>
      </c>
      <c r="F33" s="7" t="n">
        <v>400</v>
      </c>
      <c r="G33" s="8" t="n">
        <v>4</v>
      </c>
      <c r="H33" s="6"/>
    </row>
    <row r="34" customFormat="false" ht="15" hidden="false" customHeight="false" outlineLevel="0" collapsed="false">
      <c r="A34" s="9" t="n">
        <v>30</v>
      </c>
      <c r="B34" s="10" t="s">
        <v>74</v>
      </c>
      <c r="C34" s="10" t="s">
        <v>81</v>
      </c>
      <c r="D34" s="11" t="s">
        <v>82</v>
      </c>
      <c r="E34" s="10" t="s">
        <v>13</v>
      </c>
      <c r="F34" s="12" t="n">
        <v>800</v>
      </c>
      <c r="G34" s="13" t="n">
        <v>10</v>
      </c>
      <c r="H34" s="11"/>
    </row>
    <row r="35" customFormat="false" ht="15" hidden="false" customHeight="false" outlineLevel="0" collapsed="false">
      <c r="A35" s="4" t="n">
        <v>31</v>
      </c>
      <c r="B35" s="5" t="s">
        <v>74</v>
      </c>
      <c r="C35" s="5" t="s">
        <v>83</v>
      </c>
      <c r="D35" s="6" t="s">
        <v>84</v>
      </c>
      <c r="E35" s="5" t="s">
        <v>13</v>
      </c>
      <c r="F35" s="7" t="n">
        <v>80</v>
      </c>
      <c r="G35" s="8" t="n">
        <v>1</v>
      </c>
      <c r="H35" s="6"/>
    </row>
    <row r="36" customFormat="false" ht="15" hidden="false" customHeight="false" outlineLevel="0" collapsed="false">
      <c r="A36" s="9" t="n">
        <v>32</v>
      </c>
      <c r="B36" s="10" t="s">
        <v>85</v>
      </c>
      <c r="C36" s="10" t="s">
        <v>86</v>
      </c>
      <c r="D36" s="11" t="s">
        <v>87</v>
      </c>
      <c r="E36" s="10" t="s">
        <v>88</v>
      </c>
      <c r="F36" s="12" t="n">
        <v>2500</v>
      </c>
      <c r="G36" s="13" t="n">
        <v>40</v>
      </c>
      <c r="H36" s="11" t="s">
        <v>89</v>
      </c>
    </row>
    <row r="37" customFormat="false" ht="15" hidden="false" customHeight="false" outlineLevel="0" collapsed="false">
      <c r="A37" s="4" t="n">
        <v>33</v>
      </c>
      <c r="B37" s="5" t="s">
        <v>85</v>
      </c>
      <c r="C37" s="5" t="s">
        <v>90</v>
      </c>
      <c r="D37" s="6" t="s">
        <v>91</v>
      </c>
      <c r="E37" s="5" t="s">
        <v>88</v>
      </c>
      <c r="F37" s="7" t="n">
        <v>6000</v>
      </c>
      <c r="G37" s="8" t="n">
        <v>80</v>
      </c>
      <c r="H37" s="6" t="s">
        <v>89</v>
      </c>
    </row>
    <row r="38" customFormat="false" ht="15" hidden="false" customHeight="false" outlineLevel="0" collapsed="false">
      <c r="A38" s="9" t="n">
        <v>34</v>
      </c>
      <c r="B38" s="10" t="s">
        <v>85</v>
      </c>
      <c r="C38" s="10" t="s">
        <v>92</v>
      </c>
      <c r="D38" s="11" t="s">
        <v>93</v>
      </c>
      <c r="E38" s="10" t="s">
        <v>94</v>
      </c>
      <c r="F38" s="12" t="n">
        <v>120</v>
      </c>
      <c r="G38" s="13"/>
      <c r="H38" s="11" t="s">
        <v>95</v>
      </c>
    </row>
    <row r="39" customFormat="false" ht="15" hidden="false" customHeight="false" outlineLevel="0" collapsed="false">
      <c r="A39" s="4" t="n">
        <v>35</v>
      </c>
      <c r="B39" s="5" t="s">
        <v>85</v>
      </c>
      <c r="C39" s="5" t="s">
        <v>96</v>
      </c>
      <c r="D39" s="6" t="s">
        <v>97</v>
      </c>
      <c r="E39" s="5" t="s">
        <v>69</v>
      </c>
      <c r="F39" s="7" t="n">
        <v>300</v>
      </c>
      <c r="G39" s="8"/>
      <c r="H39" s="6" t="s">
        <v>70</v>
      </c>
    </row>
    <row r="40" customFormat="false" ht="15" hidden="false" customHeight="false" outlineLevel="0" collapsed="false">
      <c r="A40" s="9" t="n">
        <v>36</v>
      </c>
      <c r="B40" s="10" t="s">
        <v>85</v>
      </c>
      <c r="C40" s="10" t="s">
        <v>98</v>
      </c>
      <c r="D40" s="11" t="s">
        <v>99</v>
      </c>
      <c r="E40" s="10" t="s">
        <v>88</v>
      </c>
      <c r="F40" s="12" t="n">
        <v>8000</v>
      </c>
      <c r="G40" s="13" t="n">
        <v>120</v>
      </c>
      <c r="H40" s="11" t="s">
        <v>89</v>
      </c>
    </row>
    <row r="41" customFormat="false" ht="15" hidden="false" customHeight="false" outlineLevel="0" collapsed="false">
      <c r="A41" s="4" t="n">
        <v>37</v>
      </c>
      <c r="B41" s="5" t="s">
        <v>85</v>
      </c>
      <c r="C41" s="5" t="s">
        <v>100</v>
      </c>
      <c r="D41" s="6" t="s">
        <v>101</v>
      </c>
      <c r="E41" s="5" t="s">
        <v>88</v>
      </c>
      <c r="F41" s="7" t="n">
        <v>800</v>
      </c>
      <c r="G41" s="8" t="n">
        <v>10</v>
      </c>
      <c r="H41" s="6"/>
    </row>
    <row r="42" customFormat="false" ht="15" hidden="false" customHeight="false" outlineLevel="0" collapsed="false">
      <c r="A42" s="9" t="n">
        <v>38</v>
      </c>
      <c r="B42" s="10" t="s">
        <v>85</v>
      </c>
      <c r="C42" s="10" t="s">
        <v>102</v>
      </c>
      <c r="D42" s="11" t="s">
        <v>103</v>
      </c>
      <c r="E42" s="10" t="s">
        <v>13</v>
      </c>
      <c r="F42" s="12" t="n">
        <v>500</v>
      </c>
      <c r="G42" s="13" t="n">
        <v>6</v>
      </c>
      <c r="H42" s="11"/>
    </row>
    <row r="43" customFormat="false" ht="15" hidden="false" customHeight="false" outlineLevel="0" collapsed="false">
      <c r="A43" s="4" t="n">
        <v>39</v>
      </c>
      <c r="B43" s="5" t="s">
        <v>104</v>
      </c>
      <c r="C43" s="5" t="s">
        <v>105</v>
      </c>
      <c r="D43" s="6" t="s">
        <v>106</v>
      </c>
      <c r="E43" s="5" t="s">
        <v>94</v>
      </c>
      <c r="F43" s="7" t="n">
        <v>70</v>
      </c>
      <c r="G43" s="8" t="n">
        <v>1</v>
      </c>
      <c r="H43" s="6"/>
    </row>
    <row r="44" customFormat="false" ht="15" hidden="false" customHeight="false" outlineLevel="0" collapsed="false">
      <c r="A44" s="9" t="n">
        <v>40</v>
      </c>
      <c r="B44" s="10" t="s">
        <v>104</v>
      </c>
      <c r="C44" s="10" t="s">
        <v>107</v>
      </c>
      <c r="D44" s="11" t="s">
        <v>108</v>
      </c>
      <c r="E44" s="10" t="s">
        <v>94</v>
      </c>
      <c r="F44" s="12" t="n">
        <v>100</v>
      </c>
      <c r="G44" s="13" t="n">
        <v>1</v>
      </c>
      <c r="H44" s="11" t="s">
        <v>109</v>
      </c>
    </row>
    <row r="45" customFormat="false" ht="15" hidden="false" customHeight="false" outlineLevel="0" collapsed="false">
      <c r="A45" s="4" t="n">
        <v>41</v>
      </c>
      <c r="B45" s="5" t="s">
        <v>104</v>
      </c>
      <c r="C45" s="5" t="s">
        <v>110</v>
      </c>
      <c r="D45" s="6" t="s">
        <v>111</v>
      </c>
      <c r="E45" s="5" t="s">
        <v>69</v>
      </c>
      <c r="F45" s="7" t="n">
        <v>450</v>
      </c>
      <c r="G45" s="8"/>
      <c r="H45" s="6" t="s">
        <v>70</v>
      </c>
    </row>
    <row r="46" customFormat="false" ht="15" hidden="false" customHeight="false" outlineLevel="0" collapsed="false">
      <c r="A46" s="9" t="n">
        <v>42</v>
      </c>
      <c r="B46" s="10" t="s">
        <v>104</v>
      </c>
      <c r="C46" s="10" t="s">
        <v>112</v>
      </c>
      <c r="D46" s="11" t="s">
        <v>113</v>
      </c>
      <c r="E46" s="10" t="s">
        <v>69</v>
      </c>
      <c r="F46" s="12" t="n">
        <v>800</v>
      </c>
      <c r="G46" s="13"/>
      <c r="H46" s="11" t="s">
        <v>70</v>
      </c>
    </row>
    <row r="47" customFormat="false" ht="15" hidden="false" customHeight="false" outlineLevel="0" collapsed="false">
      <c r="A47" s="4" t="n">
        <v>43</v>
      </c>
      <c r="B47" s="5" t="s">
        <v>104</v>
      </c>
      <c r="C47" s="5" t="s">
        <v>114</v>
      </c>
      <c r="D47" s="6" t="s">
        <v>115</v>
      </c>
      <c r="E47" s="5" t="s">
        <v>116</v>
      </c>
      <c r="F47" s="7" t="n">
        <v>200</v>
      </c>
      <c r="G47" s="8" t="n">
        <v>2</v>
      </c>
      <c r="H47" s="6" t="s">
        <v>117</v>
      </c>
    </row>
    <row r="48" customFormat="false" ht="15" hidden="false" customHeight="false" outlineLevel="0" collapsed="false">
      <c r="A48" s="9" t="n">
        <v>44</v>
      </c>
      <c r="B48" s="10" t="s">
        <v>118</v>
      </c>
      <c r="C48" s="10" t="s">
        <v>119</v>
      </c>
      <c r="D48" s="11" t="s">
        <v>120</v>
      </c>
      <c r="E48" s="10" t="s">
        <v>13</v>
      </c>
      <c r="F48" s="12" t="n">
        <v>150</v>
      </c>
      <c r="G48" s="13" t="n">
        <v>2</v>
      </c>
      <c r="H48" s="11"/>
    </row>
    <row r="49" customFormat="false" ht="15" hidden="false" customHeight="false" outlineLevel="0" collapsed="false">
      <c r="A49" s="4" t="n">
        <v>45</v>
      </c>
      <c r="B49" s="5" t="s">
        <v>118</v>
      </c>
      <c r="C49" s="5" t="s">
        <v>121</v>
      </c>
      <c r="D49" s="6" t="s">
        <v>122</v>
      </c>
      <c r="E49" s="5" t="s">
        <v>13</v>
      </c>
      <c r="F49" s="7" t="n">
        <v>300</v>
      </c>
      <c r="G49" s="8" t="n">
        <v>4</v>
      </c>
      <c r="H49" s="6" t="s">
        <v>123</v>
      </c>
    </row>
    <row r="50" customFormat="false" ht="15" hidden="false" customHeight="false" outlineLevel="0" collapsed="false">
      <c r="A50" s="9" t="n">
        <v>46</v>
      </c>
      <c r="B50" s="10" t="s">
        <v>118</v>
      </c>
      <c r="C50" s="10" t="s">
        <v>124</v>
      </c>
      <c r="D50" s="11" t="s">
        <v>125</v>
      </c>
      <c r="E50" s="10" t="s">
        <v>13</v>
      </c>
      <c r="F50" s="12" t="n">
        <v>120</v>
      </c>
      <c r="G50" s="13" t="n">
        <v>1.5</v>
      </c>
      <c r="H50" s="11"/>
    </row>
    <row r="51" customFormat="false" ht="15" hidden="false" customHeight="false" outlineLevel="0" collapsed="false">
      <c r="A51" s="4" t="n">
        <v>47</v>
      </c>
      <c r="B51" s="5" t="s">
        <v>118</v>
      </c>
      <c r="C51" s="5" t="s">
        <v>126</v>
      </c>
      <c r="D51" s="6" t="s">
        <v>127</v>
      </c>
      <c r="E51" s="5" t="s">
        <v>13</v>
      </c>
      <c r="F51" s="7" t="n">
        <v>180</v>
      </c>
      <c r="G51" s="8" t="n">
        <v>2</v>
      </c>
      <c r="H51" s="6"/>
    </row>
    <row r="52" customFormat="false" ht="15" hidden="false" customHeight="false" outlineLevel="0" collapsed="false">
      <c r="A52" s="9" t="n">
        <v>48</v>
      </c>
      <c r="B52" s="10" t="s">
        <v>128</v>
      </c>
      <c r="C52" s="10" t="s">
        <v>129</v>
      </c>
      <c r="D52" s="11" t="s">
        <v>130</v>
      </c>
      <c r="E52" s="10" t="s">
        <v>94</v>
      </c>
      <c r="F52" s="12" t="n">
        <v>180</v>
      </c>
      <c r="G52" s="13" t="n">
        <v>1</v>
      </c>
      <c r="H52" s="11"/>
    </row>
    <row r="53" customFormat="false" ht="15" hidden="false" customHeight="false" outlineLevel="0" collapsed="false">
      <c r="A53" s="4" t="n">
        <v>49</v>
      </c>
      <c r="B53" s="5" t="s">
        <v>128</v>
      </c>
      <c r="C53" s="5" t="s">
        <v>131</v>
      </c>
      <c r="D53" s="6" t="s">
        <v>132</v>
      </c>
      <c r="E53" s="5" t="s">
        <v>13</v>
      </c>
      <c r="F53" s="7" t="n">
        <v>400</v>
      </c>
      <c r="G53" s="8" t="n">
        <v>6</v>
      </c>
      <c r="H53" s="6"/>
    </row>
    <row r="54" customFormat="false" ht="15" hidden="false" customHeight="false" outlineLevel="0" collapsed="false">
      <c r="A54" s="9" t="n">
        <v>50</v>
      </c>
      <c r="B54" s="10" t="s">
        <v>128</v>
      </c>
      <c r="C54" s="10" t="s">
        <v>133</v>
      </c>
      <c r="D54" s="11" t="s">
        <v>134</v>
      </c>
      <c r="E54" s="10" t="s">
        <v>88</v>
      </c>
      <c r="F54" s="12" t="n">
        <v>1200</v>
      </c>
      <c r="G54" s="13" t="n">
        <v>20</v>
      </c>
      <c r="H54" s="11"/>
    </row>
    <row r="55" customFormat="false" ht="15" hidden="false" customHeight="false" outlineLevel="0" collapsed="false">
      <c r="A55" s="4" t="n">
        <v>51</v>
      </c>
      <c r="B55" s="5" t="s">
        <v>135</v>
      </c>
      <c r="C55" s="5" t="s">
        <v>136</v>
      </c>
      <c r="D55" s="6" t="s">
        <v>137</v>
      </c>
      <c r="E55" s="5" t="s">
        <v>13</v>
      </c>
      <c r="F55" s="7" t="n">
        <v>900</v>
      </c>
      <c r="G55" s="8" t="n">
        <v>12</v>
      </c>
      <c r="H55" s="6"/>
    </row>
    <row r="56" customFormat="false" ht="15" hidden="false" customHeight="false" outlineLevel="0" collapsed="false">
      <c r="A56" s="9" t="n">
        <v>52</v>
      </c>
      <c r="B56" s="10" t="s">
        <v>135</v>
      </c>
      <c r="C56" s="10" t="s">
        <v>138</v>
      </c>
      <c r="D56" s="11" t="s">
        <v>139</v>
      </c>
      <c r="E56" s="10" t="s">
        <v>13</v>
      </c>
      <c r="F56" s="12" t="n">
        <v>250</v>
      </c>
      <c r="G56" s="13" t="n">
        <v>3</v>
      </c>
      <c r="H56" s="11" t="s">
        <v>140</v>
      </c>
    </row>
    <row r="57" customFormat="false" ht="15" hidden="false" customHeight="false" outlineLevel="0" collapsed="false">
      <c r="A57" s="4" t="n">
        <v>53</v>
      </c>
      <c r="B57" s="5" t="s">
        <v>135</v>
      </c>
      <c r="C57" s="5" t="s">
        <v>141</v>
      </c>
      <c r="D57" s="6" t="s">
        <v>142</v>
      </c>
      <c r="E57" s="5" t="s">
        <v>69</v>
      </c>
      <c r="F57" s="7" t="n">
        <v>500</v>
      </c>
      <c r="G57" s="8"/>
      <c r="H57" s="6" t="s">
        <v>70</v>
      </c>
    </row>
    <row r="58" customFormat="false" ht="15" hidden="false" customHeight="false" outlineLevel="0" collapsed="false">
      <c r="A58" s="9" t="n">
        <v>54</v>
      </c>
      <c r="B58" s="10" t="s">
        <v>143</v>
      </c>
      <c r="C58" s="10" t="s">
        <v>144</v>
      </c>
      <c r="D58" s="11" t="s">
        <v>145</v>
      </c>
      <c r="E58" s="10" t="s">
        <v>13</v>
      </c>
      <c r="F58" s="12" t="n">
        <v>90</v>
      </c>
      <c r="G58" s="13" t="n">
        <v>1.5</v>
      </c>
      <c r="H58" s="11"/>
    </row>
    <row r="59" customFormat="false" ht="15" hidden="false" customHeight="false" outlineLevel="0" collapsed="false">
      <c r="A59" s="4" t="n">
        <v>55</v>
      </c>
      <c r="B59" s="5" t="s">
        <v>143</v>
      </c>
      <c r="C59" s="5" t="s">
        <v>146</v>
      </c>
      <c r="D59" s="6" t="s">
        <v>147</v>
      </c>
      <c r="E59" s="5" t="s">
        <v>13</v>
      </c>
      <c r="F59" s="7" t="n">
        <v>70</v>
      </c>
      <c r="G59" s="8" t="n">
        <v>1</v>
      </c>
      <c r="H59" s="6"/>
    </row>
    <row r="60" customFormat="false" ht="15" hidden="false" customHeight="false" outlineLevel="0" collapsed="false">
      <c r="A60" s="9" t="n">
        <v>56</v>
      </c>
      <c r="B60" s="10" t="s">
        <v>143</v>
      </c>
      <c r="C60" s="10" t="s">
        <v>148</v>
      </c>
      <c r="D60" s="11" t="s">
        <v>149</v>
      </c>
      <c r="E60" s="10" t="s">
        <v>13</v>
      </c>
      <c r="F60" s="12" t="n">
        <v>40</v>
      </c>
      <c r="G60" s="13" t="n">
        <v>0.3</v>
      </c>
      <c r="H60" s="11" t="s">
        <v>150</v>
      </c>
    </row>
    <row r="62" customFormat="false" ht="15" hidden="false" customHeight="false" outlineLevel="0" collapsed="false">
      <c r="B62" s="14" t="s">
        <v>151</v>
      </c>
      <c r="F62" s="14" t="n">
        <f aca="false">COUNTA(C5:C60)</f>
        <v>56</v>
      </c>
    </row>
    <row r="63" customFormat="false" ht="15" hidden="false" customHeight="false" outlineLevel="0" collapsed="false">
      <c r="B63" s="14" t="s">
        <v>152</v>
      </c>
      <c r="F63" s="15" t="n">
        <f aca="false">AVERAGE(F5:F60)</f>
        <v>536.428571428571</v>
      </c>
    </row>
  </sheetData>
  <autoFilter ref="A4:H60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8"/>
  </cols>
  <sheetData>
    <row r="1" customFormat="false" ht="19.7" hidden="false" customHeight="false" outlineLevel="0" collapsed="false">
      <c r="A1" s="1" t="s">
        <v>153</v>
      </c>
      <c r="B1" s="1"/>
      <c r="C1" s="1"/>
      <c r="D1" s="1"/>
      <c r="E1" s="1"/>
    </row>
    <row r="3" customFormat="false" ht="26.85" hidden="false" customHeight="false" outlineLevel="0" collapsed="false">
      <c r="A3" s="3" t="s">
        <v>3</v>
      </c>
      <c r="B3" s="3" t="s">
        <v>154</v>
      </c>
      <c r="C3" s="3" t="s">
        <v>155</v>
      </c>
      <c r="D3" s="3" t="s">
        <v>156</v>
      </c>
      <c r="E3" s="3" t="s">
        <v>157</v>
      </c>
    </row>
    <row r="4" customFormat="false" ht="15" hidden="false" customHeight="false" outlineLevel="0" collapsed="false">
      <c r="A4" s="16" t="s">
        <v>10</v>
      </c>
      <c r="B4" s="4" t="n">
        <f aca="false">COUNTIF(Serviços!$B$5:$B$60,A4)</f>
        <v>10</v>
      </c>
      <c r="C4" s="17" t="n">
        <f aca="false">AVERAGEIF(Serviços!$B$5:$B$60,A4,Serviços!$F$5:$F$60)</f>
        <v>105</v>
      </c>
      <c r="D4" s="17" t="n">
        <f aca="false">_xlfn.MINIFS(Serviços!$F$5:$F$60,Serviços!$B$5:$B$60,A4)</f>
        <v>60</v>
      </c>
      <c r="E4" s="17" t="n">
        <f aca="false">_xlfn.MAXIFS(Serviços!$F$5:$F$60,Serviços!$B$5:$B$60,A4)</f>
        <v>200</v>
      </c>
    </row>
    <row r="5" customFormat="false" ht="15" hidden="false" customHeight="false" outlineLevel="0" collapsed="false">
      <c r="A5" s="18" t="s">
        <v>34</v>
      </c>
      <c r="B5" s="9" t="n">
        <f aca="false">COUNTIF(Serviços!$B$5:$B$60,A5)</f>
        <v>8</v>
      </c>
      <c r="C5" s="19" t="n">
        <f aca="false">AVERAGEIF(Serviços!$B$5:$B$60,A5,Serviços!$F$5:$F$60)</f>
        <v>78.75</v>
      </c>
      <c r="D5" s="19" t="n">
        <f aca="false">_xlfn.MINIFS(Serviços!$F$5:$F$60,Serviços!$B$5:$B$60,A5)</f>
        <v>50</v>
      </c>
      <c r="E5" s="19" t="n">
        <f aca="false">_xlfn.MAXIFS(Serviços!$F$5:$F$60,Serviços!$B$5:$B$60,A5)</f>
        <v>150</v>
      </c>
    </row>
    <row r="6" customFormat="false" ht="15" hidden="false" customHeight="false" outlineLevel="0" collapsed="false">
      <c r="A6" s="16" t="s">
        <v>52</v>
      </c>
      <c r="B6" s="4" t="n">
        <f aca="false">COUNTIF(Serviços!$B$5:$B$60,A6)</f>
        <v>8</v>
      </c>
      <c r="C6" s="17" t="n">
        <f aca="false">AVERAGEIF(Serviços!$B$5:$B$60,A6,Serviços!$F$5:$F$60)</f>
        <v>251.25</v>
      </c>
      <c r="D6" s="17" t="n">
        <f aca="false">_xlfn.MINIFS(Serviços!$F$5:$F$60,Serviços!$B$5:$B$60,A6)</f>
        <v>80</v>
      </c>
      <c r="E6" s="17" t="n">
        <f aca="false">_xlfn.MAXIFS(Serviços!$F$5:$F$60,Serviços!$B$5:$B$60,A6)</f>
        <v>600</v>
      </c>
    </row>
    <row r="7" customFormat="false" ht="15" hidden="false" customHeight="false" outlineLevel="0" collapsed="false">
      <c r="A7" s="18" t="s">
        <v>74</v>
      </c>
      <c r="B7" s="9" t="n">
        <f aca="false">COUNTIF(Serviços!$B$5:$B$60,A7)</f>
        <v>5</v>
      </c>
      <c r="C7" s="19" t="n">
        <f aca="false">AVERAGEIF(Serviços!$B$5:$B$60,A7,Serviços!$F$5:$F$60)</f>
        <v>426</v>
      </c>
      <c r="D7" s="19" t="n">
        <f aca="false">_xlfn.MINIFS(Serviços!$F$5:$F$60,Serviços!$B$5:$B$60,A7)</f>
        <v>80</v>
      </c>
      <c r="E7" s="19" t="n">
        <f aca="false">_xlfn.MAXIFS(Serviços!$F$5:$F$60,Serviços!$B$5:$B$60,A7)</f>
        <v>800</v>
      </c>
    </row>
    <row r="8" customFormat="false" ht="15" hidden="false" customHeight="false" outlineLevel="0" collapsed="false">
      <c r="A8" s="16" t="s">
        <v>85</v>
      </c>
      <c r="B8" s="4" t="n">
        <f aca="false">COUNTIF(Serviços!$B$5:$B$60,A8)</f>
        <v>7</v>
      </c>
      <c r="C8" s="17" t="n">
        <f aca="false">AVERAGEIF(Serviços!$B$5:$B$60,A8,Serviços!$F$5:$F$60)</f>
        <v>2602.85714285714</v>
      </c>
      <c r="D8" s="17" t="n">
        <f aca="false">_xlfn.MINIFS(Serviços!$F$5:$F$60,Serviços!$B$5:$B$60,A8)</f>
        <v>120</v>
      </c>
      <c r="E8" s="17" t="n">
        <f aca="false">_xlfn.MAXIFS(Serviços!$F$5:$F$60,Serviços!$B$5:$B$60,A8)</f>
        <v>8000</v>
      </c>
    </row>
    <row r="9" customFormat="false" ht="15" hidden="false" customHeight="false" outlineLevel="0" collapsed="false">
      <c r="A9" s="18" t="s">
        <v>104</v>
      </c>
      <c r="B9" s="9" t="n">
        <f aca="false">COUNTIF(Serviços!$B$5:$B$60,A9)</f>
        <v>5</v>
      </c>
      <c r="C9" s="19" t="n">
        <f aca="false">AVERAGEIF(Serviços!$B$5:$B$60,A9,Serviços!$F$5:$F$60)</f>
        <v>324</v>
      </c>
      <c r="D9" s="19" t="n">
        <f aca="false">_xlfn.MINIFS(Serviços!$F$5:$F$60,Serviços!$B$5:$B$60,A9)</f>
        <v>70</v>
      </c>
      <c r="E9" s="19" t="n">
        <f aca="false">_xlfn.MAXIFS(Serviços!$F$5:$F$60,Serviços!$B$5:$B$60,A9)</f>
        <v>800</v>
      </c>
    </row>
    <row r="10" customFormat="false" ht="15" hidden="false" customHeight="false" outlineLevel="0" collapsed="false">
      <c r="A10" s="16" t="s">
        <v>118</v>
      </c>
      <c r="B10" s="4" t="n">
        <f aca="false">COUNTIF(Serviços!$B$5:$B$60,A10)</f>
        <v>4</v>
      </c>
      <c r="C10" s="17" t="n">
        <f aca="false">AVERAGEIF(Serviços!$B$5:$B$60,A10,Serviços!$F$5:$F$60)</f>
        <v>187.5</v>
      </c>
      <c r="D10" s="17" t="n">
        <f aca="false">_xlfn.MINIFS(Serviços!$F$5:$F$60,Serviços!$B$5:$B$60,A10)</f>
        <v>120</v>
      </c>
      <c r="E10" s="17" t="n">
        <f aca="false">_xlfn.MAXIFS(Serviços!$F$5:$F$60,Serviços!$B$5:$B$60,A10)</f>
        <v>300</v>
      </c>
    </row>
    <row r="11" customFormat="false" ht="15" hidden="false" customHeight="false" outlineLevel="0" collapsed="false">
      <c r="A11" s="18" t="s">
        <v>128</v>
      </c>
      <c r="B11" s="9" t="n">
        <f aca="false">COUNTIF(Serviços!$B$5:$B$60,A11)</f>
        <v>3</v>
      </c>
      <c r="C11" s="19" t="n">
        <f aca="false">AVERAGEIF(Serviços!$B$5:$B$60,A11,Serviços!$F$5:$F$60)</f>
        <v>593.333333333333</v>
      </c>
      <c r="D11" s="19" t="n">
        <f aca="false">_xlfn.MINIFS(Serviços!$F$5:$F$60,Serviços!$B$5:$B$60,A11)</f>
        <v>180</v>
      </c>
      <c r="E11" s="19" t="n">
        <f aca="false">_xlfn.MAXIFS(Serviços!$F$5:$F$60,Serviços!$B$5:$B$60,A11)</f>
        <v>1200</v>
      </c>
    </row>
    <row r="12" customFormat="false" ht="15" hidden="false" customHeight="false" outlineLevel="0" collapsed="false">
      <c r="A12" s="16" t="s">
        <v>135</v>
      </c>
      <c r="B12" s="4" t="n">
        <f aca="false">COUNTIF(Serviços!$B$5:$B$60,A12)</f>
        <v>3</v>
      </c>
      <c r="C12" s="17" t="n">
        <f aca="false">AVERAGEIF(Serviços!$B$5:$B$60,A12,Serviços!$F$5:$F$60)</f>
        <v>550</v>
      </c>
      <c r="D12" s="17" t="n">
        <f aca="false">_xlfn.MINIFS(Serviços!$F$5:$F$60,Serviços!$B$5:$B$60,A12)</f>
        <v>250</v>
      </c>
      <c r="E12" s="17" t="n">
        <f aca="false">_xlfn.MAXIFS(Serviços!$F$5:$F$60,Serviços!$B$5:$B$60,A12)</f>
        <v>900</v>
      </c>
    </row>
    <row r="13" customFormat="false" ht="15" hidden="false" customHeight="false" outlineLevel="0" collapsed="false">
      <c r="A13" s="18" t="s">
        <v>143</v>
      </c>
      <c r="B13" s="9" t="n">
        <f aca="false">COUNTIF(Serviços!$B$5:$B$60,A13)</f>
        <v>3</v>
      </c>
      <c r="C13" s="19" t="n">
        <f aca="false">AVERAGEIF(Serviços!$B$5:$B$60,A13,Serviços!$F$5:$F$60)</f>
        <v>66.6666666666667</v>
      </c>
      <c r="D13" s="19" t="n">
        <f aca="false">_xlfn.MINIFS(Serviços!$F$5:$F$60,Serviços!$B$5:$B$60,A13)</f>
        <v>40</v>
      </c>
      <c r="E13" s="19" t="n">
        <f aca="false">_xlfn.MAXIFS(Serviços!$F$5:$F$60,Serviços!$B$5:$B$60,A13)</f>
        <v>90</v>
      </c>
    </row>
    <row r="15" customFormat="false" ht="15" hidden="false" customHeight="false" outlineLevel="0" collapsed="false">
      <c r="A15" s="14" t="s">
        <v>158</v>
      </c>
      <c r="B15" s="20" t="n">
        <f aca="false">SUM(B4:B13)</f>
        <v>56</v>
      </c>
      <c r="C15" s="21" t="n">
        <f aca="false">AVERAGE(Serviços!$F$5:$F$60)</f>
        <v>536.428571428571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2026-07-29T17:01:03Z</dcterms:created>
  <dc:creator>openpyxl</dc:creator>
  <dc:description/>
  <dc:language>en-US</dc:language>
  <cp:lastModifiedBy/>
  <dcterms:modified xsi:type="dcterms:W3CDTF">2026-07-29T17:01:03Z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